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udol\OneDrive\Рабочий стол\мои dz\"/>
    </mc:Choice>
  </mc:AlternateContent>
  <xr:revisionPtr revIDLastSave="0" documentId="13_ncr:1_{9F7F79F0-E8C9-4D5E-B36C-91E75F32C1E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вычленение элементов" sheetId="2" r:id="rId1"/>
    <sheet name="примитив" sheetId="1" r:id="rId2"/>
    <sheet name="ГеоПарсинг" sheetId="4" r:id="rId3"/>
    <sheet name="календарь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C3" i="5" s="1"/>
  <c r="C5" i="5" s="1"/>
  <c r="B2" i="2"/>
  <c r="C2" i="2" s="1"/>
  <c r="T2" i="2"/>
  <c r="B3" i="2"/>
  <c r="C3" i="2" s="1"/>
  <c r="T3" i="2"/>
  <c r="B4" i="2"/>
  <c r="C4" i="2"/>
  <c r="T4" i="2"/>
  <c r="B5" i="2"/>
  <c r="C5" i="2"/>
  <c r="T5" i="2"/>
  <c r="B6" i="2"/>
  <c r="C6" i="2" s="1"/>
  <c r="T6" i="2"/>
  <c r="B7" i="2"/>
  <c r="C7" i="2" s="1"/>
  <c r="T7" i="2"/>
  <c r="B8" i="2"/>
  <c r="C8" i="2"/>
  <c r="T8" i="2"/>
  <c r="B9" i="2"/>
  <c r="C9" i="2"/>
  <c r="T9" i="2"/>
  <c r="B10" i="2"/>
  <c r="C10" i="2" s="1"/>
  <c r="T10" i="2"/>
  <c r="B11" i="2"/>
  <c r="C11" i="2" s="1"/>
  <c r="T11" i="2"/>
  <c r="B12" i="2"/>
  <c r="C12" i="2"/>
  <c r="T12" i="2"/>
  <c r="B13" i="2"/>
  <c r="C13" i="2"/>
  <c r="T13" i="2"/>
  <c r="A1" i="4"/>
  <c r="D5" i="5" l="1"/>
  <c r="E5" i="5" s="1"/>
  <c r="F5" i="5" s="1"/>
  <c r="G5" i="5" s="1"/>
  <c r="H5" i="5" s="1"/>
  <c r="I5" i="5" s="1"/>
  <c r="C6" i="5" s="1"/>
  <c r="D6" i="5" s="1"/>
  <c r="E6" i="5" s="1"/>
  <c r="F6" i="5" s="1"/>
  <c r="G6" i="5" s="1"/>
  <c r="H6" i="5" s="1"/>
  <c r="I6" i="5" s="1"/>
  <c r="C7" i="5" s="1"/>
  <c r="D7" i="5" s="1"/>
  <c r="E7" i="5" s="1"/>
  <c r="F7" i="5" s="1"/>
  <c r="G7" i="5" s="1"/>
  <c r="H7" i="5" s="1"/>
  <c r="I7" i="5" s="1"/>
  <c r="C8" i="5" s="1"/>
  <c r="D8" i="5" s="1"/>
  <c r="E8" i="5" s="1"/>
  <c r="F8" i="5" s="1"/>
  <c r="G8" i="5" s="1"/>
  <c r="H8" i="5" s="1"/>
  <c r="I8" i="5" s="1"/>
  <c r="C9" i="5" s="1"/>
  <c r="D9" i="5" s="1"/>
  <c r="E9" i="5" s="1"/>
  <c r="F9" i="5" s="1"/>
  <c r="G9" i="5" s="1"/>
  <c r="H9" i="5" s="1"/>
  <c r="I9" i="5" s="1"/>
</calcChain>
</file>

<file path=xl/sharedStrings.xml><?xml version="1.0" encoding="utf-8"?>
<sst xmlns="http://schemas.openxmlformats.org/spreadsheetml/2006/main" count="61" uniqueCount="59">
  <si>
    <t>www.abc.com</t>
  </si>
  <si>
    <t>12000034596274648</t>
  </si>
  <si>
    <t>https://aliexpress.ru/item/1005005856670848.html?sku_id=12000034596274648</t>
  </si>
  <si>
    <t>1005005856670848</t>
  </si>
  <si>
    <t>https://aliexpress.ru/item/1005005856670848.html?sku_id=12000034596274648&amp;spm=a2g2w.stores.search_results.11.6ee41710PuduY3</t>
  </si>
  <si>
    <t>12000035566153928</t>
  </si>
  <si>
    <t>https://aliexpress.ru/item/1005003843221921.html?sku_id=12000035566153928</t>
  </si>
  <si>
    <t>1005003843221921</t>
  </si>
  <si>
    <t>https://aliexpress.ru/item/1005003843221921.html?sku_id=12000035566153928&amp;spm=a2g2w.stores.search_results.10.6ee41710PuduY3</t>
  </si>
  <si>
    <t>12000032208302740</t>
  </si>
  <si>
    <t>https://aliexpress.ru/item/1005005212729800.html?sku_id=12000032208302740</t>
  </si>
  <si>
    <t>1005005212729800</t>
  </si>
  <si>
    <t>https://aliexpress.ru/item/1005005212729800.html?sku_id=12000032208302740&amp;spm=a2g2w.stores.search_results.9.6ee41710PuduY3</t>
  </si>
  <si>
    <t>12000031348793285</t>
  </si>
  <si>
    <t>https://aliexpress.ru/item/1005005015142728.html?sku_id=12000031348793285</t>
  </si>
  <si>
    <t>1005005015142728</t>
  </si>
  <si>
    <t>https://aliexpress.ru/item/1005005015142728.html?sku_id=12000031348793285&amp;spm=a2g2w.stores.search_results.8.6ee41710PuduY3</t>
  </si>
  <si>
    <t>12000032902680563</t>
  </si>
  <si>
    <t>https://aliexpress.ru/item/1005005398308748.html?sku_id=12000032902680563</t>
  </si>
  <si>
    <t>1005005398308748</t>
  </si>
  <si>
    <t>https://aliexpress.ru/item/1005005398308748.html?sku_id=12000032902680563&amp;spm=a2g2w.stores.search_results.7.6ee41710PuduY3</t>
  </si>
  <si>
    <t>12000030691991586</t>
  </si>
  <si>
    <t>https://aliexpress.ru/item/1005004838942954.html?sku_id=12000030691991586</t>
  </si>
  <si>
    <t>1005004838942954</t>
  </si>
  <si>
    <t>https://aliexpress.ru/item/1005004838942954.html?sku_id=12000030691991586&amp;spm=a2g2w.stores.search_results.6.6ee41710PuduY3</t>
  </si>
  <si>
    <t>12000031155559496</t>
  </si>
  <si>
    <t>https://aliexpress.ru/item/1005004241787639.html?sku_id=12000031155559496</t>
  </si>
  <si>
    <t>1005004241787639</t>
  </si>
  <si>
    <t>https://aliexpress.ru/item/1005004241787639.html?sku_id=12000031155559496&amp;spm=a2g2w.stores.search_results.5.6ee41710PuduY3</t>
  </si>
  <si>
    <t>12000035901497015</t>
  </si>
  <si>
    <t>https://aliexpress.ru/item/1005006131510480.html?sku_id=12000035901497015</t>
  </si>
  <si>
    <t>1005006131510480</t>
  </si>
  <si>
    <t>https://aliexpress.ru/item/1005006131510480.html?sku_id=12000035901497015&amp;spm=a2g2w.stores.search_results.4.6ee41710PuduY3</t>
  </si>
  <si>
    <t>12000033328599506</t>
  </si>
  <si>
    <t>https://aliexpress.ru/item/1005005498861347.html?sku_id=12000033328599506</t>
  </si>
  <si>
    <t>1005005498861347</t>
  </si>
  <si>
    <t>https://aliexpress.ru/item/1005005498861347.html?sku_id=12000033328599506&amp;spm=a2g2w.stores.search_results.3.6ee41710PuduY3</t>
  </si>
  <si>
    <t>12000035566354639</t>
  </si>
  <si>
    <t>https://aliexpress.ru/item/1005004239356044.html?sku_id=12000035566354639</t>
  </si>
  <si>
    <t>1005004239356044</t>
  </si>
  <si>
    <t>https://aliexpress.ru/item/1005004239356044.html?sku_id=12000035566354639&amp;spm=a2g2w.stores.search_results.2.6ee41710PuduY3</t>
  </si>
  <si>
    <t>12000036061925187</t>
  </si>
  <si>
    <t>https://aliexpress.ru/item/1005005335841879.html?sku_id=12000036061925187</t>
  </si>
  <si>
    <t>1005005335841879</t>
  </si>
  <si>
    <t>https://aliexpress.ru/item/1005005335841879.html?sku_id=12000036061925187&amp;spm=a2g2w.stores.search_results.1.6ee41710PuduY3</t>
  </si>
  <si>
    <t>12000034596256637</t>
  </si>
  <si>
    <t>https://aliexpress.ru/item/1005005856460296.html?sku_id=12000034596256637</t>
  </si>
  <si>
    <t>1005005856460296</t>
  </si>
  <si>
    <t>https://aliexpress.ru/item/1005005856460296.html?sku_id=12000034596256637&amp;spm=a2g2w.stores.search_results.0.6ee41710PuduY3</t>
  </si>
  <si>
    <t>https://aliexpress.ru/item/</t>
  </si>
  <si>
    <t>Кисуму</t>
  </si>
  <si>
    <t>Кампала</t>
  </si>
  <si>
    <t>пн</t>
  </si>
  <si>
    <t>вт</t>
  </si>
  <si>
    <t>ср</t>
  </si>
  <si>
    <t>чт</t>
  </si>
  <si>
    <t>пт</t>
  </si>
  <si>
    <t>сб</t>
  </si>
  <si>
    <t>вс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</si>
</sst>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d"/>
    <numFmt numFmtId="168" formatCode="[$-419]mmmm\ yyyy;@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Arial Black"/>
      <family val="2"/>
      <charset val="204"/>
    </font>
    <font>
      <sz val="14"/>
      <color theme="1"/>
      <name val="Arial Black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8" fontId="3" fillId="2" borderId="0" xfId="0" applyNumberFormat="1" applyFont="1" applyFill="1" applyAlignment="1">
      <alignment horizontal="center"/>
    </xf>
  </cellXfs>
  <cellStyles count="1">
    <cellStyle name="Обычный" xfId="0" builtinId="0"/>
  </cellStyles>
  <dxfs count="2">
    <dxf>
      <font>
        <b/>
        <i val="0"/>
        <strike val="0"/>
        <color theme="0" tint="-0.24994659260841701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B8ED-FD5E-45A7-8AFE-411DC5E90543}">
  <sheetPr codeName="Лист2"/>
  <dimension ref="A1:W24"/>
  <sheetViews>
    <sheetView workbookViewId="0">
      <selection activeCell="L13" sqref="L13"/>
    </sheetView>
  </sheetViews>
  <sheetFormatPr defaultRowHeight="15" x14ac:dyDescent="0.25"/>
  <cols>
    <col min="1" max="1" width="9.140625" style="1"/>
    <col min="2" max="2" width="11.42578125" customWidth="1"/>
    <col min="6" max="6" width="17.28515625" bestFit="1" customWidth="1"/>
    <col min="8" max="8" width="15.85546875" customWidth="1"/>
  </cols>
  <sheetData>
    <row r="1" spans="1:23" x14ac:dyDescent="0.25">
      <c r="A1" t="s">
        <v>49</v>
      </c>
    </row>
    <row r="2" spans="1:23" x14ac:dyDescent="0.25">
      <c r="A2" t="s">
        <v>48</v>
      </c>
      <c r="B2" t="str">
        <f t="shared" ref="B2:B13" si="0">RIGHT(A2,LEN(A2)-SEARCH("/",A2,LEN($A$1)))</f>
        <v>1005005856460296.html?sku_id=12000034596256637&amp;spm=a2g2w.stores.search_results.0.6ee41710PuduY3</v>
      </c>
      <c r="C2" t="str">
        <f t="shared" ref="C2:C13" si="1">LEFT((RIGHT(A2,LEN(A2)-SEARCH("/",A2,LEN($A$1)))),SEARCH(".",B2,1)-1)</f>
        <v>1005005856460296</v>
      </c>
      <c r="F2" s="2"/>
      <c r="H2" s="1" t="s">
        <v>47</v>
      </c>
      <c r="L2" t="s">
        <v>46</v>
      </c>
      <c r="T2" t="str">
        <f t="shared" ref="T2:T13" si="2">RIGHT(L2,LEN(L2)-SEARCH("=",L2,1))</f>
        <v>12000034596256637</v>
      </c>
      <c r="W2" t="s">
        <v>45</v>
      </c>
    </row>
    <row r="3" spans="1:23" x14ac:dyDescent="0.25">
      <c r="A3" s="1" t="s">
        <v>44</v>
      </c>
      <c r="B3" t="str">
        <f t="shared" si="0"/>
        <v>1005005335841879.html?sku_id=12000036061925187&amp;spm=a2g2w.stores.search_results.1.6ee41710PuduY3</v>
      </c>
      <c r="C3" t="str">
        <f t="shared" si="1"/>
        <v>1005005335841879</v>
      </c>
      <c r="F3" s="2"/>
      <c r="H3" s="1" t="s">
        <v>43</v>
      </c>
      <c r="L3" t="s">
        <v>42</v>
      </c>
      <c r="T3" t="str">
        <f t="shared" si="2"/>
        <v>12000036061925187</v>
      </c>
      <c r="W3" t="s">
        <v>41</v>
      </c>
    </row>
    <row r="4" spans="1:23" x14ac:dyDescent="0.25">
      <c r="A4" s="1" t="s">
        <v>40</v>
      </c>
      <c r="B4" t="str">
        <f t="shared" si="0"/>
        <v>1005004239356044.html?sku_id=12000035566354639&amp;spm=a2g2w.stores.search_results.2.6ee41710PuduY3</v>
      </c>
      <c r="C4" t="str">
        <f t="shared" si="1"/>
        <v>1005004239356044</v>
      </c>
      <c r="F4" s="2"/>
      <c r="H4" s="1" t="s">
        <v>39</v>
      </c>
      <c r="L4" t="s">
        <v>38</v>
      </c>
      <c r="T4" t="str">
        <f t="shared" si="2"/>
        <v>12000035566354639</v>
      </c>
      <c r="W4" t="s">
        <v>37</v>
      </c>
    </row>
    <row r="5" spans="1:23" x14ac:dyDescent="0.25">
      <c r="A5" s="1" t="s">
        <v>36</v>
      </c>
      <c r="B5" t="str">
        <f t="shared" si="0"/>
        <v>1005005498861347.html?sku_id=12000033328599506&amp;spm=a2g2w.stores.search_results.3.6ee41710PuduY3</v>
      </c>
      <c r="C5" t="str">
        <f t="shared" si="1"/>
        <v>1005005498861347</v>
      </c>
      <c r="F5" s="2"/>
      <c r="H5" s="1" t="s">
        <v>35</v>
      </c>
      <c r="L5" t="s">
        <v>34</v>
      </c>
      <c r="T5" t="str">
        <f t="shared" si="2"/>
        <v>12000033328599506</v>
      </c>
      <c r="W5" t="s">
        <v>33</v>
      </c>
    </row>
    <row r="6" spans="1:23" x14ac:dyDescent="0.25">
      <c r="A6" s="1" t="s">
        <v>32</v>
      </c>
      <c r="B6" t="str">
        <f t="shared" si="0"/>
        <v>1005006131510480.html?sku_id=12000035901497015&amp;spm=a2g2w.stores.search_results.4.6ee41710PuduY3</v>
      </c>
      <c r="C6" t="str">
        <f t="shared" si="1"/>
        <v>1005006131510480</v>
      </c>
      <c r="F6" s="2"/>
      <c r="H6" s="1" t="s">
        <v>31</v>
      </c>
      <c r="L6" t="s">
        <v>30</v>
      </c>
      <c r="T6" t="str">
        <f t="shared" si="2"/>
        <v>12000035901497015</v>
      </c>
      <c r="W6" t="s">
        <v>29</v>
      </c>
    </row>
    <row r="7" spans="1:23" x14ac:dyDescent="0.25">
      <c r="A7" s="1" t="s">
        <v>28</v>
      </c>
      <c r="B7" t="str">
        <f t="shared" si="0"/>
        <v>1005004241787639.html?sku_id=12000031155559496&amp;spm=a2g2w.stores.search_results.5.6ee41710PuduY3</v>
      </c>
      <c r="C7" t="str">
        <f t="shared" si="1"/>
        <v>1005004241787639</v>
      </c>
      <c r="F7" s="2"/>
      <c r="H7" s="1" t="s">
        <v>27</v>
      </c>
      <c r="L7" t="s">
        <v>26</v>
      </c>
      <c r="T7" t="str">
        <f t="shared" si="2"/>
        <v>12000031155559496</v>
      </c>
      <c r="W7" t="s">
        <v>25</v>
      </c>
    </row>
    <row r="8" spans="1:23" x14ac:dyDescent="0.25">
      <c r="A8" s="1" t="s">
        <v>24</v>
      </c>
      <c r="B8" t="str">
        <f t="shared" si="0"/>
        <v>1005004838942954.html?sku_id=12000030691991586&amp;spm=a2g2w.stores.search_results.6.6ee41710PuduY3</v>
      </c>
      <c r="C8" t="str">
        <f t="shared" si="1"/>
        <v>1005004838942954</v>
      </c>
      <c r="F8" s="2"/>
      <c r="H8" s="1" t="s">
        <v>23</v>
      </c>
      <c r="L8" t="s">
        <v>22</v>
      </c>
      <c r="T8" t="str">
        <f t="shared" si="2"/>
        <v>12000030691991586</v>
      </c>
      <c r="W8" t="s">
        <v>21</v>
      </c>
    </row>
    <row r="9" spans="1:23" x14ac:dyDescent="0.25">
      <c r="A9" s="1" t="s">
        <v>20</v>
      </c>
      <c r="B9" t="str">
        <f t="shared" si="0"/>
        <v>1005005398308748.html?sku_id=12000032902680563&amp;spm=a2g2w.stores.search_results.7.6ee41710PuduY3</v>
      </c>
      <c r="C9" t="str">
        <f t="shared" si="1"/>
        <v>1005005398308748</v>
      </c>
      <c r="F9" s="2"/>
      <c r="H9" s="1" t="s">
        <v>19</v>
      </c>
      <c r="L9" t="s">
        <v>18</v>
      </c>
      <c r="T9" t="str">
        <f t="shared" si="2"/>
        <v>12000032902680563</v>
      </c>
      <c r="W9" t="s">
        <v>17</v>
      </c>
    </row>
    <row r="10" spans="1:23" x14ac:dyDescent="0.25">
      <c r="A10" s="1" t="s">
        <v>16</v>
      </c>
      <c r="B10" t="str">
        <f t="shared" si="0"/>
        <v>1005005015142728.html?sku_id=12000031348793285&amp;spm=a2g2w.stores.search_results.8.6ee41710PuduY3</v>
      </c>
      <c r="C10" t="str">
        <f t="shared" si="1"/>
        <v>1005005015142728</v>
      </c>
      <c r="F10" s="2"/>
      <c r="H10" s="1" t="s">
        <v>15</v>
      </c>
      <c r="L10" t="s">
        <v>14</v>
      </c>
      <c r="T10" t="str">
        <f t="shared" si="2"/>
        <v>12000031348793285</v>
      </c>
      <c r="W10" t="s">
        <v>13</v>
      </c>
    </row>
    <row r="11" spans="1:23" x14ac:dyDescent="0.25">
      <c r="A11" s="1" t="s">
        <v>12</v>
      </c>
      <c r="B11" t="str">
        <f t="shared" si="0"/>
        <v>1005005212729800.html?sku_id=12000032208302740&amp;spm=a2g2w.stores.search_results.9.6ee41710PuduY3</v>
      </c>
      <c r="C11" t="str">
        <f t="shared" si="1"/>
        <v>1005005212729800</v>
      </c>
      <c r="F11" s="2"/>
      <c r="H11" s="1" t="s">
        <v>11</v>
      </c>
      <c r="L11" t="s">
        <v>10</v>
      </c>
      <c r="T11" t="str">
        <f t="shared" si="2"/>
        <v>12000032208302740</v>
      </c>
      <c r="W11" t="s">
        <v>9</v>
      </c>
    </row>
    <row r="12" spans="1:23" x14ac:dyDescent="0.25">
      <c r="A12" s="1" t="s">
        <v>8</v>
      </c>
      <c r="B12" t="str">
        <f t="shared" si="0"/>
        <v>1005003843221921.html?sku_id=12000035566153928&amp;spm=a2g2w.stores.search_results.10.6ee41710PuduY3</v>
      </c>
      <c r="C12" t="str">
        <f t="shared" si="1"/>
        <v>1005003843221921</v>
      </c>
      <c r="F12" s="2"/>
      <c r="H12" s="1" t="s">
        <v>7</v>
      </c>
      <c r="L12" t="s">
        <v>6</v>
      </c>
      <c r="T12" t="str">
        <f t="shared" si="2"/>
        <v>12000035566153928</v>
      </c>
      <c r="W12" t="s">
        <v>5</v>
      </c>
    </row>
    <row r="13" spans="1:23" x14ac:dyDescent="0.25">
      <c r="A13" s="1" t="s">
        <v>4</v>
      </c>
      <c r="B13" t="str">
        <f t="shared" si="0"/>
        <v>1005005856670848.html?sku_id=12000034596274648&amp;spm=a2g2w.stores.search_results.11.6ee41710PuduY3</v>
      </c>
      <c r="C13" t="str">
        <f t="shared" si="1"/>
        <v>1005005856670848</v>
      </c>
      <c r="F13" s="2"/>
      <c r="H13" s="1" t="s">
        <v>3</v>
      </c>
      <c r="L13" t="s">
        <v>2</v>
      </c>
      <c r="T13" t="str">
        <f t="shared" si="2"/>
        <v>12000034596274648</v>
      </c>
      <c r="W13" t="s">
        <v>1</v>
      </c>
    </row>
    <row r="24" spans="4:4" x14ac:dyDescent="0.25">
      <c r="D24" s="1" t="s">
        <v>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F38"/>
  <sheetViews>
    <sheetView workbookViewId="0">
      <selection activeCell="G21" sqref="G21"/>
    </sheetView>
  </sheetViews>
  <sheetFormatPr defaultRowHeight="15" x14ac:dyDescent="0.25"/>
  <sheetData>
    <row r="2" spans="2:6" x14ac:dyDescent="0.25">
      <c r="B2" t="s">
        <v>0</v>
      </c>
    </row>
    <row r="3" spans="2:6" x14ac:dyDescent="0.25">
      <c r="B3" t="s">
        <v>0</v>
      </c>
    </row>
    <row r="4" spans="2:6" x14ac:dyDescent="0.25">
      <c r="B4">
        <v>1</v>
      </c>
    </row>
    <row r="9" spans="2:6" x14ac:dyDescent="0.25">
      <c r="D9">
        <v>1</v>
      </c>
      <c r="E9">
        <v>2</v>
      </c>
      <c r="F9">
        <v>3</v>
      </c>
    </row>
    <row r="10" spans="2:6" x14ac:dyDescent="0.25">
      <c r="D10">
        <v>4</v>
      </c>
      <c r="E10">
        <v>5</v>
      </c>
      <c r="F10">
        <v>6</v>
      </c>
    </row>
    <row r="11" spans="2:6" x14ac:dyDescent="0.25">
      <c r="D11">
        <v>7</v>
      </c>
      <c r="E11">
        <v>8</v>
      </c>
      <c r="F11">
        <v>9</v>
      </c>
    </row>
    <row r="12" spans="2:6" x14ac:dyDescent="0.25">
      <c r="D12">
        <v>10</v>
      </c>
      <c r="E12">
        <v>11</v>
      </c>
      <c r="F12">
        <v>12</v>
      </c>
    </row>
    <row r="13" spans="2:6" x14ac:dyDescent="0.25">
      <c r="D13">
        <v>13</v>
      </c>
      <c r="E13">
        <v>14</v>
      </c>
      <c r="F13">
        <v>15</v>
      </c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B9DFE-B0B4-4099-BEA6-1A5739F693FD}">
  <sheetPr codeName="Лист3"/>
  <dimension ref="A1:D1"/>
  <sheetViews>
    <sheetView workbookViewId="0">
      <selection activeCell="D5" sqref="D5"/>
    </sheetView>
  </sheetViews>
  <sheetFormatPr defaultRowHeight="15" x14ac:dyDescent="0.25"/>
  <sheetData>
    <row r="1" spans="1:4" x14ac:dyDescent="0.25">
      <c r="A1" t="str">
        <f>km(C1,D1)</f>
        <v>308</v>
      </c>
      <c r="C1" t="s">
        <v>51</v>
      </c>
      <c r="D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670D9-AC67-49E1-8262-43CC54680F59}">
  <dimension ref="A1:I9"/>
  <sheetViews>
    <sheetView showGridLines="0" tabSelected="1" workbookViewId="0">
      <selection activeCell="A2" sqref="A2"/>
    </sheetView>
  </sheetViews>
  <sheetFormatPr defaultRowHeight="15" x14ac:dyDescent="0.25"/>
  <cols>
    <col min="1" max="2" width="10.140625" bestFit="1" customWidth="1"/>
    <col min="3" max="3" width="5.42578125" bestFit="1" customWidth="1"/>
    <col min="4" max="9" width="5.28515625" bestFit="1" customWidth="1"/>
  </cols>
  <sheetData>
    <row r="1" spans="1:9" x14ac:dyDescent="0.25">
      <c r="A1" s="3">
        <f ca="1">TODAY()</f>
        <v>45234</v>
      </c>
    </row>
    <row r="3" spans="1:9" ht="22.5" x14ac:dyDescent="0.45">
      <c r="C3" s="6">
        <f ca="1">A1</f>
        <v>45234</v>
      </c>
      <c r="D3" s="6"/>
      <c r="E3" s="6"/>
      <c r="F3" s="6"/>
      <c r="G3" s="6"/>
      <c r="H3" s="6"/>
      <c r="I3" s="6"/>
    </row>
    <row r="4" spans="1:9" ht="22.5" x14ac:dyDescent="0.25">
      <c r="C4" s="4" t="s">
        <v>52</v>
      </c>
      <c r="D4" s="4" t="s">
        <v>53</v>
      </c>
      <c r="E4" s="4" t="s">
        <v>54</v>
      </c>
      <c r="F4" s="4" t="s">
        <v>55</v>
      </c>
      <c r="G4" s="4" t="s">
        <v>56</v>
      </c>
      <c r="H4" s="4" t="s">
        <v>57</v>
      </c>
      <c r="I4" s="4" t="s">
        <v>58</v>
      </c>
    </row>
    <row r="5" spans="1:9" ht="22.5" x14ac:dyDescent="0.25">
      <c r="C5" s="5">
        <f ca="1">(C3-DAY(C3)+1)-WEEKDAY(C3-DAY(C3)+1,3)</f>
        <v>45229</v>
      </c>
      <c r="D5" s="5">
        <f ca="1">C5+1</f>
        <v>45230</v>
      </c>
      <c r="E5" s="5">
        <f ca="1">D5+1</f>
        <v>45231</v>
      </c>
      <c r="F5" s="5">
        <f t="shared" ref="F5:I5" ca="1" si="0">E5+1</f>
        <v>45232</v>
      </c>
      <c r="G5" s="5">
        <f t="shared" ca="1" si="0"/>
        <v>45233</v>
      </c>
      <c r="H5" s="5">
        <f t="shared" ca="1" si="0"/>
        <v>45234</v>
      </c>
      <c r="I5" s="5">
        <f t="shared" ca="1" si="0"/>
        <v>45235</v>
      </c>
    </row>
    <row r="6" spans="1:9" ht="22.5" x14ac:dyDescent="0.25">
      <c r="C6" s="5">
        <f ca="1">I5+1</f>
        <v>45236</v>
      </c>
      <c r="D6" s="5">
        <f ca="1">C6+1</f>
        <v>45237</v>
      </c>
      <c r="E6" s="5">
        <f t="shared" ref="C6:I7" ca="1" si="1">D6+1</f>
        <v>45238</v>
      </c>
      <c r="F6" s="5">
        <f t="shared" ca="1" si="1"/>
        <v>45239</v>
      </c>
      <c r="G6" s="5">
        <f t="shared" ca="1" si="1"/>
        <v>45240</v>
      </c>
      <c r="H6" s="5">
        <f t="shared" ca="1" si="1"/>
        <v>45241</v>
      </c>
      <c r="I6" s="5">
        <f t="shared" ca="1" si="1"/>
        <v>45242</v>
      </c>
    </row>
    <row r="7" spans="1:9" ht="22.5" x14ac:dyDescent="0.25">
      <c r="C7" s="5">
        <f ca="1">I6+1</f>
        <v>45243</v>
      </c>
      <c r="D7" s="5">
        <f ca="1">C7+1</f>
        <v>45244</v>
      </c>
      <c r="E7" s="5">
        <f t="shared" ref="E7:I7" ca="1" si="2">D7+1</f>
        <v>45245</v>
      </c>
      <c r="F7" s="5">
        <f t="shared" ca="1" si="2"/>
        <v>45246</v>
      </c>
      <c r="G7" s="5">
        <f t="shared" ca="1" si="2"/>
        <v>45247</v>
      </c>
      <c r="H7" s="5">
        <f t="shared" ca="1" si="2"/>
        <v>45248</v>
      </c>
      <c r="I7" s="5">
        <f t="shared" ca="1" si="2"/>
        <v>45249</v>
      </c>
    </row>
    <row r="8" spans="1:9" ht="22.5" x14ac:dyDescent="0.25">
      <c r="C8" s="5">
        <f ca="1">I7+1</f>
        <v>45250</v>
      </c>
      <c r="D8" s="5">
        <f ca="1">C8+1</f>
        <v>45251</v>
      </c>
      <c r="E8" s="5">
        <f t="shared" ref="E8:I8" ca="1" si="3">D8+1</f>
        <v>45252</v>
      </c>
      <c r="F8" s="5">
        <f t="shared" ca="1" si="3"/>
        <v>45253</v>
      </c>
      <c r="G8" s="5">
        <f t="shared" ca="1" si="3"/>
        <v>45254</v>
      </c>
      <c r="H8" s="5">
        <f t="shared" ca="1" si="3"/>
        <v>45255</v>
      </c>
      <c r="I8" s="5">
        <f t="shared" ca="1" si="3"/>
        <v>45256</v>
      </c>
    </row>
    <row r="9" spans="1:9" ht="22.5" x14ac:dyDescent="0.25">
      <c r="C9" s="5">
        <f ca="1">I8+1</f>
        <v>45257</v>
      </c>
      <c r="D9" s="5">
        <f ca="1">C9+1</f>
        <v>45258</v>
      </c>
      <c r="E9" s="5">
        <f t="shared" ref="E9:I9" ca="1" si="4">D9+1</f>
        <v>45259</v>
      </c>
      <c r="F9" s="5">
        <f t="shared" ca="1" si="4"/>
        <v>45260</v>
      </c>
      <c r="G9" s="5">
        <f t="shared" ca="1" si="4"/>
        <v>45261</v>
      </c>
      <c r="H9" s="5">
        <f t="shared" ca="1" si="4"/>
        <v>45262</v>
      </c>
      <c r="I9" s="5">
        <f t="shared" ca="1" si="4"/>
        <v>45263</v>
      </c>
    </row>
  </sheetData>
  <mergeCells count="1">
    <mergeCell ref="C3:I3"/>
  </mergeCells>
  <phoneticPr fontId="1" type="noConversion"/>
  <conditionalFormatting sqref="C5:I9">
    <cfRule type="expression" dxfId="0" priority="1">
      <formula>MONTH($C$3)&lt;&gt;MONTH(C5)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вычленение элементов</vt:lpstr>
      <vt:lpstr>примитив</vt:lpstr>
      <vt:lpstr>ГеоПарсинг</vt:lpstr>
      <vt:lpstr>календарь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Худолеев</dc:creator>
  <cp:lastModifiedBy>Олег Худолеев</cp:lastModifiedBy>
  <cp:lastPrinted>2023-10-29T10:36:52Z</cp:lastPrinted>
  <dcterms:created xsi:type="dcterms:W3CDTF">2015-06-05T18:19:34Z</dcterms:created>
  <dcterms:modified xsi:type="dcterms:W3CDTF">2023-11-04T12:49:45Z</dcterms:modified>
</cp:coreProperties>
</file>